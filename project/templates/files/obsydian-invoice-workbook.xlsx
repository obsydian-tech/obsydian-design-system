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  <sheet sheetId="2" name="Receipt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<sst xmlns="http://schemas.openxmlformats.org/spreadsheetml/2006/main" count="65" uniqueCount="59">
  <si>
    <t>TAX INVOICE</t>
  </si>
  <si>
    <t>Tax invoice</t>
  </si>
  <si>
    <t>INVOICE NO.</t>
  </si>
  <si>
    <t>ISSUED</t>
  </si>
  <si>
    <t>DUE</t>
  </si>
  <si>
    <t>AMOUNT DUE (AUD)</t>
  </si>
  <si>
    <t>[INV-0001]</t>
  </si>
  <si>
    <t>BILL TO</t>
  </si>
  <si>
    <t>FROM</t>
  </si>
  <si>
    <t>[Client company name]</t>
  </si>
  <si>
    <t>Obsydian Technologies Pty Ltd</t>
  </si>
  <si>
    <t>[Attention: contact name]</t>
  </si>
  <si>
    <t>ABN 70 682 110 363</t>
  </si>
  <si>
    <t>[Street address, City STATE Postcode]</t>
  </si>
  <si>
    <t>[Street address]</t>
  </si>
  <si>
    <t>[ABN, if they have one]</t>
  </si>
  <si>
    <t>hello@obsydiantechnologies.com</t>
  </si>
  <si>
    <t>DESCRIPTION</t>
  </si>
  <si>
    <t>QTY</t>
  </si>
  <si>
    <t>RATE</t>
  </si>
  <si>
    <t>GST</t>
  </si>
  <si>
    <t>AMOUNT</t>
  </si>
  <si>
    <t>Discovery and architecture</t>
  </si>
  <si>
    <t>Platform build: sprint 1 to 3</t>
  </si>
  <si>
    <t>Cloud environment, monthly</t>
  </si>
  <si>
    <t>Subtotal</t>
  </si>
  <si>
    <t>GST 10%</t>
  </si>
  <si>
    <t>TOTAL AUD</t>
  </si>
  <si>
    <t>HOW TO PAY</t>
  </si>
  <si>
    <t>ACCOUNT NAME</t>
  </si>
  <si>
    <t>BSB</t>
  </si>
  <si>
    <t>ACCOUNT</t>
  </si>
  <si>
    <t>REFERENCE</t>
  </si>
  <si>
    <t>[000-000]</t>
  </si>
  <si>
    <t>[0000 0000]</t>
  </si>
  <si>
    <t>Payment is due within 14 days. Please use the invoice number as your reference.</t>
  </si>
  <si>
    <t>RECEIPT</t>
  </si>
  <si>
    <t>Receipt</t>
  </si>
  <si>
    <t>Payment received. Thank you.</t>
  </si>
  <si>
    <t>RECEIPT NO.</t>
  </si>
  <si>
    <t>PAID ON</t>
  </si>
  <si>
    <t>FOR INVOICE</t>
  </si>
  <si>
    <t>METHOD</t>
  </si>
  <si>
    <t>[REC-0001]</t>
  </si>
  <si>
    <t>[Bank transfer]</t>
  </si>
  <si>
    <t>RECEIVED FROM</t>
  </si>
  <si>
    <t>RECEIVED BY</t>
  </si>
  <si>
    <t>Includes GST</t>
  </si>
  <si>
    <t>Balance remaining</t>
  </si>
  <si>
    <t>PAID AUD</t>
  </si>
  <si>
    <t>Keep this receipt for your records. Issued by Obsydian Technologies Pty Ltd, ABN 70 682 110 363.</t>
  </si>
  <si>
    <t>How to use this workbook</t>
  </si>
  <si>
    <t>01   Fill the bracketed cells on the Invoice sheet: invoice number, client details and bank details.</t>
  </si>
  <si>
    <t>02   Type up to eight line items: a description, a quantity and a rate. GST, amounts and totals calculate themselves.</t>
  </si>
  <si>
    <t>03   The due date is 14 days after the issue date (D8). Change the formula in E8 if the terms differ.</t>
  </si>
  <si>
    <t>04   When the client pays, fill the receipt number, date and method on the Receipt sheet. Everything else follows the invoice.</t>
  </si>
  <si>
    <t>05   To send: File, Export (or Save as), PDF. Send the PDF, never the workbook.</t>
  </si>
  <si>
    <t>06   Install General Sans first (free from fontshare.com) so the type matches the brand.</t>
  </si>
  <si>
    <t>07   Rates include no GST. If Obsydian is not registered for GST on this work, set the 0.1 in column E to 0 and call it an invoice, not a tax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</si>
</sst>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 yyyy"/>
    <numFmt numFmtId="165" formatCode="&quot;$&quot;#,##0.00"/>
  </numFmts>
  <fonts count="12" x14ac:knownFonts="1">
    <font>
      <color theme="1"/>
      <family val="2"/>
      <scheme val="minor"/>
      <sz val="11"/>
      <name val="Calibri"/>
    </font>
    <font>
      <color rgb="FF9D9D9D"/>
      <sz val="7.5"/>
      <name val="General Sans Medium"/>
    </font>
    <font>
      <color rgb="FF0A0A0B"/>
      <sz val="28"/>
      <name val="General Sans Medium"/>
    </font>
    <font>
      <color rgb="FF9D9D9D"/>
      <sz val="10"/>
      <name val="General Sans"/>
    </font>
    <font>
      <color rgb="FF676768"/>
      <sz val="10"/>
      <name val="General Sans"/>
    </font>
    <font>
      <color rgb="FF0A0A0B"/>
      <sz val="10"/>
      <name val="General Sans Medium"/>
    </font>
    <font>
      <color rgb="FF0A0A0B"/>
      <sz val="10"/>
      <name val="General Sans"/>
    </font>
    <font>
      <color rgb="FF0A0A0B"/>
      <sz val="7.5"/>
      <name val="General Sans Medium"/>
    </font>
    <font>
      <color rgb="FF0A0A0B"/>
      <sz val="14"/>
      <name val="General Sans Medium"/>
    </font>
    <font>
      <color rgb="FF676768"/>
      <sz val="9"/>
      <name val="General Sans"/>
    </font>
    <font>
      <color rgb="FF676768"/>
      <sz val="14"/>
      <name val="General Sans"/>
    </font>
    <font>
      <color rgb="FF0A0A0B"/>
      <sz val="18"/>
      <name val="General Sans Medium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A0A0B"/>
      </bottom>
      <diagonal/>
    </border>
    <border>
      <left/>
      <right/>
      <top/>
      <bottom style="thin">
        <color rgb="FFEBEBEB"/>
      </bottom>
      <diagonal/>
    </border>
    <border>
      <left/>
      <right/>
      <top style="thin">
        <color rgb="FF0A0A0B"/>
      </top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/>
    </xf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vertical="top"/>
    </xf>
    <xf numFmtId="165" fontId="6" fillId="0" borderId="0" xfId="0" applyNumberFormat="1" applyFont="1" applyAlignment="1">
      <alignment horizontal="right" vertical="top"/>
    </xf>
    <xf numFmtId="0" fontId="7" fillId="0" borderId="3" xfId="0" applyFont="1" applyBorder="1" applyAlignment="1">
      <alignment vertical="center"/>
    </xf>
    <xf numFmtId="165" fontId="8" fillId="0" borderId="3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5" fillId="0" borderId="4" xfId="0" applyFont="1" applyBorder="1" applyAlignment="1">
      <alignment vertical="top"/>
    </xf>
    <xf numFmtId="0" fontId="0" fillId="0" borderId="4" xfId="0" applyBorder="1"/>
    <xf numFmtId="165" fontId="4" fillId="0" borderId="4" xfId="0" applyNumberFormat="1" applyFont="1" applyBorder="1" applyAlignment="1">
      <alignment horizontal="right" vertical="top"/>
    </xf>
    <xf numFmtId="0" fontId="11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2190750" cy="209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2190750" cy="209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42" style="1" customWidth="1"/>
    <col min="3" max="3" width="8" customWidth="1"/>
    <col min="4" max="4" width="15" customWidth="1"/>
    <col min="5" max="5" width="14" customWidth="1"/>
    <col min="6" max="6" width="18" customWidth="1"/>
    <col min="7" max="7" width="2" customWidth="1"/>
  </cols>
  <sheetData>
    <row r="2" ht="22" customHeight="1" spans="2:6" x14ac:dyDescent="0.25">
      <c r="B2" s="1"/>
      <c r="F2" s="2" t="s">
        <v>0</v>
      </c>
    </row>
    <row r="5" ht="40" customHeight="1" spans="2:2" x14ac:dyDescent="0.25">
      <c r="B5" s="3" t="s">
        <v>1</v>
      </c>
    </row>
    <row r="7" spans="2:6" x14ac:dyDescent="0.25">
      <c r="B7" s="4" t="s">
        <v>2</v>
      </c>
      <c r="D7" s="5" t="s">
        <v>3</v>
      </c>
      <c r="E7" s="5" t="s">
        <v>4</v>
      </c>
      <c r="F7" s="2" t="s">
        <v>5</v>
      </c>
    </row>
    <row r="8" spans="2:6" x14ac:dyDescent="0.25">
      <c r="B8" s="6" t="s">
        <v>6</v>
      </c>
      <c r="D8" s="7">
        <v>46304</v>
      </c>
      <c r="E8" s="7">
        <f>D8+14</f>
      </c>
      <c r="F8" s="8">
        <f>F27</f>
      </c>
    </row>
    <row r="10" spans="2:4" x14ac:dyDescent="0.25">
      <c r="B10" s="4" t="s">
        <v>7</v>
      </c>
      <c r="D10" s="5" t="s">
        <v>8</v>
      </c>
    </row>
    <row r="11" spans="2:4" x14ac:dyDescent="0.25">
      <c r="B11" s="6" t="s">
        <v>9</v>
      </c>
      <c r="D11" s="9" t="s">
        <v>10</v>
      </c>
    </row>
    <row r="12" spans="2:4" x14ac:dyDescent="0.25">
      <c r="B12" s="6" t="s">
        <v>11</v>
      </c>
      <c r="D12" s="10" t="s">
        <v>12</v>
      </c>
    </row>
    <row r="13" spans="2:4" x14ac:dyDescent="0.25">
      <c r="B13" s="6" t="s">
        <v>13</v>
      </c>
      <c r="D13" s="6" t="s">
        <v>14</v>
      </c>
    </row>
    <row r="14" spans="2:4" x14ac:dyDescent="0.25">
      <c r="B14" s="6" t="s">
        <v>15</v>
      </c>
      <c r="D14" s="10" t="s">
        <v>16</v>
      </c>
    </row>
    <row r="16" spans="2:6" x14ac:dyDescent="0.25">
      <c r="B16" s="11" t="s">
        <v>17</v>
      </c>
      <c r="C16" s="12" t="s">
        <v>18</v>
      </c>
      <c r="D16" s="12" t="s">
        <v>19</v>
      </c>
      <c r="E16" s="12" t="s">
        <v>20</v>
      </c>
      <c r="F16" s="12" t="s">
        <v>21</v>
      </c>
    </row>
    <row r="17" ht="22" customHeight="1" spans="2:6" x14ac:dyDescent="0.25">
      <c r="B17" s="13" t="s">
        <v>22</v>
      </c>
      <c r="C17" s="14">
        <v>1</v>
      </c>
      <c r="D17" s="15">
        <v>18500</v>
      </c>
      <c r="E17" s="15">
        <f>IF(C17*D17=0,"",ROUND(C17*D17*0.1,2))</f>
      </c>
      <c r="F17" s="15">
        <f>IF(C17*D17=0,"",C17*D17)</f>
      </c>
    </row>
    <row r="18" ht="22" customHeight="1" spans="2:6" x14ac:dyDescent="0.25">
      <c r="B18" s="13" t="s">
        <v>23</v>
      </c>
      <c r="C18" s="14">
        <v>3</v>
      </c>
      <c r="D18" s="15">
        <v>24000</v>
      </c>
      <c r="E18" s="15">
        <f>IF(C18*D18=0,"",ROUND(C18*D18*0.1,2))</f>
      </c>
      <c r="F18" s="15">
        <f>IF(C18*D18=0,"",C18*D18)</f>
      </c>
    </row>
    <row r="19" ht="22" customHeight="1" spans="2:6" x14ac:dyDescent="0.25">
      <c r="B19" s="13" t="s">
        <v>24</v>
      </c>
      <c r="C19" s="14">
        <v>1</v>
      </c>
      <c r="D19" s="15">
        <v>3200</v>
      </c>
      <c r="E19" s="15">
        <f>IF(C19*D19=0,"",ROUND(C19*D19*0.1,2))</f>
      </c>
      <c r="F19" s="15">
        <f>IF(C19*D19=0,"",C19*D19)</f>
      </c>
    </row>
    <row r="20" ht="22" customHeight="1" spans="2:6" x14ac:dyDescent="0.25">
      <c r="B20" s="16"/>
      <c r="C20" s="14"/>
      <c r="D20" s="15"/>
      <c r="E20" s="15">
        <f>IF(C20*D20=0,"",ROUND(C20*D20*0.1,2))</f>
      </c>
      <c r="F20" s="15">
        <f>IF(C20*D20=0,"",C20*D20)</f>
      </c>
    </row>
    <row r="21" ht="22" customHeight="1" spans="2:6" x14ac:dyDescent="0.25">
      <c r="B21" s="16"/>
      <c r="C21" s="14"/>
      <c r="D21" s="15"/>
      <c r="E21" s="15">
        <f>IF(C21*D21=0,"",ROUND(C21*D21*0.1,2))</f>
      </c>
      <c r="F21" s="15">
        <f>IF(C21*D21=0,"",C21*D21)</f>
      </c>
    </row>
    <row r="22" ht="22" customHeight="1" spans="2:6" x14ac:dyDescent="0.25">
      <c r="B22" s="16"/>
      <c r="C22" s="14"/>
      <c r="D22" s="15"/>
      <c r="E22" s="15">
        <f>IF(C22*D22=0,"",ROUND(C22*D22*0.1,2))</f>
      </c>
      <c r="F22" s="15">
        <f>IF(C22*D22=0,"",C22*D22)</f>
      </c>
    </row>
    <row r="23" ht="22" customHeight="1" spans="2:6" x14ac:dyDescent="0.25">
      <c r="B23" s="16"/>
      <c r="C23" s="14"/>
      <c r="D23" s="15"/>
      <c r="E23" s="15">
        <f>IF(C23*D23=0,"",ROUND(C23*D23*0.1,2))</f>
      </c>
      <c r="F23" s="15">
        <f>IF(C23*D23=0,"",C23*D23)</f>
      </c>
    </row>
    <row r="24" ht="22" customHeight="1" spans="2:6" x14ac:dyDescent="0.25">
      <c r="B24" s="16"/>
      <c r="C24" s="14"/>
      <c r="D24" s="15"/>
      <c r="E24" s="15">
        <f>IF(C24*D24=0,"",ROUND(C24*D24*0.1,2))</f>
      </c>
      <c r="F24" s="15">
        <f>IF(C24*D24=0,"",C24*D24)</f>
      </c>
    </row>
    <row r="25" spans="2:6" x14ac:dyDescent="0.25">
      <c r="B25" s="1"/>
      <c r="D25" s="10" t="s">
        <v>25</v>
      </c>
      <c r="E25" s="10"/>
      <c r="F25" s="17">
        <f>SUM(F17:F24)</f>
      </c>
    </row>
    <row r="26" spans="2:6" x14ac:dyDescent="0.25">
      <c r="B26" s="1"/>
      <c r="D26" s="10" t="s">
        <v>26</v>
      </c>
      <c r="E26" s="10"/>
      <c r="F26" s="17">
        <f>SUM(E17:E24)</f>
      </c>
    </row>
    <row r="27" ht="30" customHeight="1" spans="2:6" x14ac:dyDescent="0.25">
      <c r="B27" s="1"/>
      <c r="D27" s="18" t="s">
        <v>27</v>
      </c>
      <c r="E27" s="18"/>
      <c r="F27" s="19">
        <f>F25+F26</f>
      </c>
    </row>
    <row r="30" spans="2:2" x14ac:dyDescent="0.25">
      <c r="B30" s="20" t="s">
        <v>28</v>
      </c>
    </row>
    <row r="31" spans="2:6" x14ac:dyDescent="0.25">
      <c r="B31" s="4" t="s">
        <v>29</v>
      </c>
      <c r="C31" s="5" t="s">
        <v>30</v>
      </c>
      <c r="E31" s="5" t="s">
        <v>31</v>
      </c>
      <c r="F31" s="2" t="s">
        <v>32</v>
      </c>
    </row>
    <row r="32" spans="2:6" x14ac:dyDescent="0.25">
      <c r="B32" s="21" t="s">
        <v>10</v>
      </c>
      <c r="C32" s="6" t="s">
        <v>33</v>
      </c>
      <c r="E32" s="6" t="s">
        <v>34</v>
      </c>
      <c r="F32" s="22">
        <f>B8</f>
      </c>
    </row>
    <row r="34" spans="2:2" x14ac:dyDescent="0.25">
      <c r="B34" s="23" t="s">
        <v>35</v>
      </c>
    </row>
  </sheetData>
  <mergeCells count="3">
    <mergeCell ref="D25:E25"/>
    <mergeCell ref="D26:E26"/>
    <mergeCell ref="D27:E27"/>
  </mergeCells>
  <pageMargins left="0.6" right="0.6" top="0.6" bottom="0.6" header="0.3" footer="0.3"/>
  <pageSetup paperSize="9" orientation="portrait" horizontalDpi="4294967295" verticalDpi="4294967295" scale="100" fitToWidth="1" fitToHeight="0"/>
  <headerFooter>
    <oddFooter>&amp;L&amp;"General Sans Medium"&amp;7&amp;K9D9D9DOBSYDIAN TECHNOLOGIES PTY LTD  ·  ABN 70 682 110 363  ·  OBSYDIANTECHNOLOGIES.COM&amp;R&amp;"General Sans Medium"&amp;7&amp;K9D9D9D&amp;P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42" customWidth="1"/>
    <col min="3" max="3" width="8" customWidth="1"/>
    <col min="4" max="4" width="15" customWidth="1"/>
    <col min="5" max="5" width="14" customWidth="1"/>
    <col min="6" max="6" width="18" customWidth="1"/>
    <col min="7" max="7" width="2" customWidth="1"/>
  </cols>
  <sheetData>
    <row r="2" ht="22" customHeight="1" spans="6:6" x14ac:dyDescent="0.25">
      <c r="F2" s="2" t="s">
        <v>36</v>
      </c>
    </row>
    <row r="5" ht="40" customHeight="1" spans="2:2" x14ac:dyDescent="0.25">
      <c r="B5" s="3" t="s">
        <v>37</v>
      </c>
    </row>
    <row r="6" spans="2:2" x14ac:dyDescent="0.25">
      <c r="B6" s="24" t="s">
        <v>38</v>
      </c>
    </row>
    <row r="8" spans="2:6" x14ac:dyDescent="0.25">
      <c r="B8" s="5" t="s">
        <v>39</v>
      </c>
      <c r="D8" s="5" t="s">
        <v>40</v>
      </c>
      <c r="E8" s="5" t="s">
        <v>41</v>
      </c>
      <c r="F8" s="2" t="s">
        <v>42</v>
      </c>
    </row>
    <row r="9" spans="2:6" x14ac:dyDescent="0.25">
      <c r="B9" s="6" t="s">
        <v>43</v>
      </c>
      <c r="D9" s="7">
        <v>46315</v>
      </c>
      <c r="E9" s="10">
        <f>Invoice!B8</f>
      </c>
      <c r="F9" s="25" t="s">
        <v>44</v>
      </c>
    </row>
    <row r="11" spans="2:4" x14ac:dyDescent="0.25">
      <c r="B11" s="5" t="s">
        <v>45</v>
      </c>
      <c r="D11" s="5" t="s">
        <v>46</v>
      </c>
    </row>
    <row r="12" spans="2:4" x14ac:dyDescent="0.25">
      <c r="B12" s="21">
        <f>Invoice!B11</f>
      </c>
      <c r="D12" s="9" t="s">
        <v>10</v>
      </c>
    </row>
    <row r="13" spans="2:4" x14ac:dyDescent="0.25">
      <c r="B13" s="6">
        <f>Invoice!B12</f>
      </c>
      <c r="D13" s="10" t="s">
        <v>12</v>
      </c>
    </row>
    <row r="15" spans="2:6" x14ac:dyDescent="0.25">
      <c r="B15" s="26" t="s">
        <v>17</v>
      </c>
      <c r="C15" s="27"/>
      <c r="D15" s="27"/>
      <c r="E15" s="12" t="s">
        <v>20</v>
      </c>
      <c r="F15" s="12" t="s">
        <v>21</v>
      </c>
    </row>
    <row r="16" ht="22" customHeight="1" spans="2:6" x14ac:dyDescent="0.25">
      <c r="B16" s="28">
        <f>"Payment against invoice "&amp;Invoice!B8</f>
      </c>
      <c r="C16" s="29"/>
      <c r="D16" s="29"/>
      <c r="E16" s="30">
        <f>Invoice!F26</f>
      </c>
      <c r="F16" s="30">
        <f>Invoice!F27</f>
      </c>
    </row>
    <row r="18" spans="4:6" x14ac:dyDescent="0.25">
      <c r="D18" s="10" t="s">
        <v>47</v>
      </c>
      <c r="E18" s="10"/>
      <c r="F18" s="17">
        <f>E16</f>
      </c>
    </row>
    <row r="19" spans="4:6" x14ac:dyDescent="0.25">
      <c r="D19" s="10" t="s">
        <v>48</v>
      </c>
      <c r="E19" s="10"/>
      <c r="F19" s="17">
        <f>Invoice!F27-F16</f>
      </c>
    </row>
    <row r="20" ht="30" customHeight="1" spans="4:6" x14ac:dyDescent="0.25">
      <c r="D20" s="18" t="s">
        <v>49</v>
      </c>
      <c r="E20" s="18"/>
      <c r="F20" s="19">
        <f>F16</f>
      </c>
    </row>
    <row r="23" spans="2:2" x14ac:dyDescent="0.25">
      <c r="B23" s="23" t="s">
        <v>50</v>
      </c>
    </row>
  </sheetData>
  <mergeCells count="3">
    <mergeCell ref="D18:E18"/>
    <mergeCell ref="D19:E19"/>
    <mergeCell ref="D20:E20"/>
  </mergeCells>
  <pageMargins left="0.6" right="0.6" top="0.6" bottom="0.6" header="0.3" footer="0.3"/>
  <pageSetup paperSize="9" orientation="portrait" horizontalDpi="4294967295" verticalDpi="4294967295" scale="100" fitToWidth="1" fitToHeight="0"/>
  <headerFooter>
    <oddFooter>&amp;L&amp;"General Sans Medium"&amp;7&amp;K9D9D9DOBSYDIAN TECHNOLOGIES PTY LTD  ·  ABN 70 682 110 363  ·  OBSYDIANTECHNOLOGIES.COM&amp;R&amp;"General Sans Medium"&amp;7&amp;K9D9D9D&amp;P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90" customWidth="1"/>
  </cols>
  <sheetData>
    <row r="2" spans="2:2" x14ac:dyDescent="0.25">
      <c r="B2" s="31" t="s">
        <v>51</v>
      </c>
    </row>
    <row r="4" ht="30" customHeight="1" spans="2:2" x14ac:dyDescent="0.25">
      <c r="B4" s="32" t="s">
        <v>52</v>
      </c>
    </row>
    <row r="5" ht="30" customHeight="1" spans="2:2" x14ac:dyDescent="0.25">
      <c r="B5" s="32" t="s">
        <v>53</v>
      </c>
    </row>
    <row r="6" ht="30" customHeight="1" spans="2:2" x14ac:dyDescent="0.25">
      <c r="B6" s="32" t="s">
        <v>54</v>
      </c>
    </row>
    <row r="7" ht="30" customHeight="1" spans="2:2" x14ac:dyDescent="0.25">
      <c r="B7" s="32" t="s">
        <v>55</v>
      </c>
    </row>
    <row r="8" ht="30" customHeight="1" spans="2:2" x14ac:dyDescent="0.25">
      <c r="B8" s="32" t="s">
        <v>56</v>
      </c>
    </row>
    <row r="9" ht="30" customHeight="1" spans="2:2" x14ac:dyDescent="0.25">
      <c r="B9" s="32" t="s">
        <v>57</v>
      </c>
    </row>
    <row r="10" ht="30" customHeight="1" spans="2:2" x14ac:dyDescent="0.25">
      <c r="B10" s="3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Receipt</vt:lpstr>
      <vt:lpstr>How to use</vt:lpstr>
    </vt:vector>
  </TitlesOfParts>
  <Company>Obsydian Technologies Pty Ltd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Obsydian Technologies</dc:creator>
  <dc:title>Obsydian invoice and receipt</dc:title>
  <dc:subject/>
  <dc:description/>
  <cp:keywords/>
  <cp:category/>
  <cp:lastModifiedBy>Unknown</cp:lastModifiedBy>
  <dcterms:created xsi:type="dcterms:W3CDTF">2026-10-09T11:28:42Z</dcterms:created>
  <dcterms:modified xsi:type="dcterms:W3CDTF">2026-10-09T11:28:42Z</dcterms:modified>
</cp:coreProperties>
</file>